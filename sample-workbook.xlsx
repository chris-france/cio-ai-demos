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Forecast" sheetId="1" state="visible" r:id="rId1"/>
    <sheet name="Cost Allocation" sheetId="2" state="visible" r:id="rId2"/>
    <sheet name="Vendor Contracts" sheetId="3" state="visible" r:id="rId3"/>
    <sheet name="Assumption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  <sz val="14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Total</t>
        </is>
      </c>
      <c r="F1" s="1" t="inlineStr">
        <is>
          <t>YoY Growth</t>
        </is>
      </c>
      <c r="G1" s="1" t="inlineStr">
        <is>
          <t>Cumulative</t>
        </is>
      </c>
    </row>
    <row r="2">
      <c r="A2" t="inlineStr">
        <is>
          <t>Jan</t>
        </is>
      </c>
      <c r="B2" s="2" t="n">
        <v>120000</v>
      </c>
      <c r="C2" s="2" t="n">
        <v>85000</v>
      </c>
      <c r="D2" s="2" t="n">
        <v>45000</v>
      </c>
      <c r="E2">
        <f>SUM(B2:D2)</f>
        <v/>
      </c>
      <c r="F2" s="3" t="n">
        <v>0.12</v>
      </c>
      <c r="G2">
        <f>E2</f>
        <v/>
      </c>
    </row>
    <row r="3">
      <c r="A3" t="inlineStr">
        <is>
          <t>Feb</t>
        </is>
      </c>
      <c r="B3" s="2" t="n">
        <v>135000</v>
      </c>
      <c r="C3" s="2" t="n">
        <v>92000</v>
      </c>
      <c r="D3" s="2" t="n">
        <v>52000</v>
      </c>
      <c r="E3">
        <f>SUM(B3:D3)</f>
        <v/>
      </c>
      <c r="F3" s="3" t="n">
        <v>0.15</v>
      </c>
      <c r="G3">
        <f>G2+E3</f>
        <v/>
      </c>
    </row>
    <row r="4">
      <c r="A4" t="inlineStr">
        <is>
          <t>Mar</t>
        </is>
      </c>
      <c r="B4" s="2" t="n">
        <v>142000</v>
      </c>
      <c r="C4" s="2" t="n">
        <v>78000</v>
      </c>
      <c r="D4" s="2" t="n">
        <v>48000</v>
      </c>
      <c r="E4">
        <f>SUM(B4:D4)</f>
        <v/>
      </c>
      <c r="F4" s="3" t="n">
        <v>0.08</v>
      </c>
      <c r="G4">
        <f>G3+E4</f>
        <v/>
      </c>
    </row>
    <row r="5">
      <c r="A5" t="inlineStr">
        <is>
          <t>Apr</t>
        </is>
      </c>
      <c r="B5" s="2" t="n">
        <v>128000</v>
      </c>
      <c r="C5" s="2" t="n">
        <v>95000</v>
      </c>
      <c r="D5" s="2" t="n">
        <v>55000</v>
      </c>
      <c r="E5">
        <f>SUM(B5:D5)</f>
        <v/>
      </c>
      <c r="F5" s="3" t="n">
        <v>0.18</v>
      </c>
      <c r="G5">
        <f>G4+E5</f>
        <v/>
      </c>
    </row>
    <row r="6">
      <c r="A6" t="inlineStr">
        <is>
          <t>May</t>
        </is>
      </c>
      <c r="B6" s="2" t="n">
        <v>155000</v>
      </c>
      <c r="C6" s="2" t="n">
        <v>88000</v>
      </c>
      <c r="D6" s="2" t="n">
        <v>62000</v>
      </c>
      <c r="E6">
        <f>SUM(B6:D6)</f>
        <v/>
      </c>
      <c r="F6" s="3" t="n">
        <v>0.22</v>
      </c>
      <c r="G6">
        <f>G5+E6</f>
        <v/>
      </c>
    </row>
    <row r="7">
      <c r="A7" t="inlineStr">
        <is>
          <t>Jun</t>
        </is>
      </c>
      <c r="B7" s="2" t="n">
        <v>168000</v>
      </c>
      <c r="C7" s="2" t="n">
        <v>102000</v>
      </c>
      <c r="D7" s="2" t="n">
        <v>58000</v>
      </c>
      <c r="E7">
        <f>SUM(B7:D7)</f>
        <v/>
      </c>
      <c r="F7" s="3" t="n">
        <v>0.14</v>
      </c>
      <c r="G7">
        <f>G6+E7</f>
        <v/>
      </c>
    </row>
    <row r="8">
      <c r="A8" t="inlineStr">
        <is>
          <t>Jul</t>
        </is>
      </c>
      <c r="B8" s="2" t="n">
        <v>145000</v>
      </c>
      <c r="C8" s="2" t="n">
        <v>97000</v>
      </c>
      <c r="D8" s="2" t="n">
        <v>67000</v>
      </c>
      <c r="E8">
        <f>SUM(B8:D8)</f>
        <v/>
      </c>
      <c r="F8" s="3" t="n">
        <v>0.11</v>
      </c>
      <c r="G8">
        <f>G7+E8</f>
        <v/>
      </c>
    </row>
    <row r="9">
      <c r="A9" t="inlineStr">
        <is>
          <t>Aug</t>
        </is>
      </c>
      <c r="B9" s="2" t="n">
        <v>152000</v>
      </c>
      <c r="C9" s="2" t="n">
        <v>105000</v>
      </c>
      <c r="D9" s="2" t="n">
        <v>72000</v>
      </c>
      <c r="E9">
        <f>SUM(B9:D9)</f>
        <v/>
      </c>
      <c r="F9" s="3" t="n">
        <v>0.19</v>
      </c>
      <c r="G9">
        <f>G8+E9</f>
        <v/>
      </c>
    </row>
    <row r="10">
      <c r="A10" t="inlineStr">
        <is>
          <t>Sep</t>
        </is>
      </c>
      <c r="B10" s="2" t="n">
        <v>178000</v>
      </c>
      <c r="C10" s="2" t="n">
        <v>112000</v>
      </c>
      <c r="D10" s="2" t="n">
        <v>68000</v>
      </c>
      <c r="E10">
        <f>SUM(B10:D10)</f>
        <v/>
      </c>
      <c r="F10" s="3" t="n">
        <v>0.25</v>
      </c>
      <c r="G10">
        <f>G9+E10</f>
        <v/>
      </c>
    </row>
    <row r="11">
      <c r="A11" t="inlineStr">
        <is>
          <t>Oct</t>
        </is>
      </c>
      <c r="B11" s="2" t="n">
        <v>192000</v>
      </c>
      <c r="C11" s="2" t="n">
        <v>98000</v>
      </c>
      <c r="D11" s="2" t="n">
        <v>75000</v>
      </c>
      <c r="E11">
        <f>SUM(B11:D11)</f>
        <v/>
      </c>
      <c r="F11" s="3" t="n">
        <v>0.16</v>
      </c>
      <c r="G11">
        <f>G10+E11</f>
        <v/>
      </c>
    </row>
    <row r="12">
      <c r="A12" t="inlineStr">
        <is>
          <t>Nov</t>
        </is>
      </c>
      <c r="B12" s="2" t="n">
        <v>185000</v>
      </c>
      <c r="C12" s="2" t="n">
        <v>115000</v>
      </c>
      <c r="D12" s="2" t="n">
        <v>82000</v>
      </c>
      <c r="E12">
        <f>SUM(B12:D12)</f>
        <v/>
      </c>
      <c r="F12" s="3" t="n">
        <v>0.13</v>
      </c>
      <c r="G12">
        <f>G11+E12</f>
        <v/>
      </c>
    </row>
    <row r="13">
      <c r="A13" t="inlineStr">
        <is>
          <t>Dec</t>
        </is>
      </c>
      <c r="B13" s="2" t="n">
        <v>210000</v>
      </c>
      <c r="C13" s="2" t="n">
        <v>125000</v>
      </c>
      <c r="D13" s="2" t="n">
        <v>95000</v>
      </c>
      <c r="E13">
        <f>SUM(B13:D13)</f>
        <v/>
      </c>
      <c r="F13" s="3" t="n">
        <v>0.21</v>
      </c>
      <c r="G13">
        <f>G12+E13</f>
        <v/>
      </c>
    </row>
    <row r="14">
      <c r="A14" s="4" t="inlineStr">
        <is>
          <t>TOTAL</t>
        </is>
      </c>
      <c r="B14" s="4">
        <f>SUM(B2:B13)</f>
        <v/>
      </c>
      <c r="C14" s="4">
        <f>SUM(C2:C13)</f>
        <v/>
      </c>
      <c r="D14" s="4">
        <f>SUM(D2:D13)</f>
        <v/>
      </c>
      <c r="E14" s="4">
        <f>SUM(E2:E13)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Department</t>
        </is>
      </c>
      <c r="B1" s="5" t="inlineStr">
        <is>
          <t>Headcount</t>
        </is>
      </c>
      <c r="C1" s="5" t="inlineStr">
        <is>
          <t>Avg Salary</t>
        </is>
      </c>
      <c r="D1" s="5" t="inlineStr">
        <is>
          <t>Benefits Rate</t>
        </is>
      </c>
      <c r="E1" s="5" t="inlineStr">
        <is>
          <t>Total Comp</t>
        </is>
      </c>
      <c r="F1" s="5" t="inlineStr">
        <is>
          <t>Overhead %</t>
        </is>
      </c>
      <c r="G1" s="5" t="inlineStr">
        <is>
          <t>Fully Loaded</t>
        </is>
      </c>
      <c r="H1" s="5" t="inlineStr">
        <is>
          <t>Revenue Share</t>
        </is>
      </c>
    </row>
    <row r="2">
      <c r="A2" t="inlineStr">
        <is>
          <t>Engineering</t>
        </is>
      </c>
      <c r="B2" t="n">
        <v>45</v>
      </c>
      <c r="C2" s="2" t="n">
        <v>142000</v>
      </c>
      <c r="D2" s="3" t="n">
        <v>0.32</v>
      </c>
      <c r="E2">
        <f>B2*C2*(1+D2)</f>
        <v/>
      </c>
      <c r="F2" s="3" t="n">
        <v>0.15</v>
      </c>
      <c r="G2">
        <f>E2*(1+F2)</f>
        <v/>
      </c>
      <c r="H2" s="3">
        <f>G2/'Revenue Forecast'!E14</f>
        <v/>
      </c>
    </row>
    <row r="3">
      <c r="A3" t="inlineStr">
        <is>
          <t>Sales</t>
        </is>
      </c>
      <c r="B3" t="n">
        <v>28</v>
      </c>
      <c r="C3" s="2" t="n">
        <v>95000</v>
      </c>
      <c r="D3" s="3" t="n">
        <v>0.28</v>
      </c>
      <c r="E3">
        <f>B3*C3*(1+D3)</f>
        <v/>
      </c>
      <c r="F3" s="3" t="n">
        <v>0.22</v>
      </c>
      <c r="G3">
        <f>E3*(1+F3)</f>
        <v/>
      </c>
      <c r="H3" s="3">
        <f>G3/'Revenue Forecast'!E14</f>
        <v/>
      </c>
    </row>
    <row r="4">
      <c r="A4" t="inlineStr">
        <is>
          <t>Marketing</t>
        </is>
      </c>
      <c r="B4" t="n">
        <v>15</v>
      </c>
      <c r="C4" s="2" t="n">
        <v>88000</v>
      </c>
      <c r="D4" s="3" t="n">
        <v>0.25</v>
      </c>
      <c r="E4">
        <f>B4*C4*(1+D4)</f>
        <v/>
      </c>
      <c r="F4" s="3" t="n">
        <v>0.18</v>
      </c>
      <c r="G4">
        <f>E4*(1+F4)</f>
        <v/>
      </c>
      <c r="H4" s="3">
        <f>G4/'Revenue Forecast'!E14</f>
        <v/>
      </c>
    </row>
    <row r="5">
      <c r="A5" t="inlineStr">
        <is>
          <t>Finance</t>
        </is>
      </c>
      <c r="B5" t="n">
        <v>8</v>
      </c>
      <c r="C5" s="2" t="n">
        <v>105000</v>
      </c>
      <c r="D5" s="3" t="n">
        <v>0.3</v>
      </c>
      <c r="E5">
        <f>B5*C5*(1+D5)</f>
        <v/>
      </c>
      <c r="F5" s="3" t="n">
        <v>0.1</v>
      </c>
      <c r="G5">
        <f>E5*(1+F5)</f>
        <v/>
      </c>
      <c r="H5" s="3">
        <f>G5/'Revenue Forecast'!E14</f>
        <v/>
      </c>
    </row>
    <row r="6">
      <c r="A6" t="inlineStr">
        <is>
          <t>HR</t>
        </is>
      </c>
      <c r="B6" t="n">
        <v>6</v>
      </c>
      <c r="C6" s="2" t="n">
        <v>92000</v>
      </c>
      <c r="D6" s="3" t="n">
        <v>0.28</v>
      </c>
      <c r="E6">
        <f>B6*C6*(1+D6)</f>
        <v/>
      </c>
      <c r="F6" s="3" t="n">
        <v>0.08</v>
      </c>
      <c r="G6">
        <f>E6*(1+F6)</f>
        <v/>
      </c>
      <c r="H6" s="3">
        <f>G6/'Revenue Forecast'!E14</f>
        <v/>
      </c>
    </row>
    <row r="7">
      <c r="A7" t="inlineStr">
        <is>
          <t>Operations</t>
        </is>
      </c>
      <c r="B7" t="n">
        <v>18</v>
      </c>
      <c r="C7" s="2" t="n">
        <v>85000</v>
      </c>
      <c r="D7" s="3" t="n">
        <v>0.25</v>
      </c>
      <c r="E7">
        <f>B7*C7*(1+D7)</f>
        <v/>
      </c>
      <c r="F7" s="3" t="n">
        <v>0.2</v>
      </c>
      <c r="G7">
        <f>E7*(1+F7)</f>
        <v/>
      </c>
      <c r="H7" s="3">
        <f>G7/'Revenue Forecast'!E14</f>
        <v/>
      </c>
    </row>
    <row r="8">
      <c r="A8" t="inlineStr">
        <is>
          <t>Executive</t>
        </is>
      </c>
      <c r="B8" t="n">
        <v>4</v>
      </c>
      <c r="C8" s="2" t="n">
        <v>225000</v>
      </c>
      <c r="D8" s="3" t="n">
        <v>0.35</v>
      </c>
      <c r="E8">
        <f>B8*C8*(1+D8)</f>
        <v/>
      </c>
      <c r="F8" s="3" t="n">
        <v>0.05</v>
      </c>
      <c r="G8">
        <f>E8*(1+F8)</f>
        <v/>
      </c>
      <c r="H8" s="3">
        <f>G8/'Revenue Forecast'!E14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Vendor</t>
        </is>
      </c>
      <c r="B1" s="6" t="inlineStr">
        <is>
          <t>Annual Cost</t>
        </is>
      </c>
      <c r="C1" s="6" t="inlineStr">
        <is>
          <t>Users</t>
        </is>
      </c>
      <c r="D1" s="6" t="inlineStr">
        <is>
          <t>Cost/User</t>
        </is>
      </c>
      <c r="E1" s="6" t="inlineStr">
        <is>
          <t>Contract End</t>
        </is>
      </c>
      <c r="F1" s="6" t="inlineStr">
        <is>
          <t>Auto-Renew</t>
        </is>
      </c>
      <c r="G1" s="6" t="inlineStr">
        <is>
          <t>Utilization</t>
        </is>
      </c>
      <c r="H1" s="6" t="inlineStr">
        <is>
          <t>Risk Score</t>
        </is>
      </c>
    </row>
    <row r="2">
      <c r="A2" t="inlineStr">
        <is>
          <t>Salesforce</t>
        </is>
      </c>
      <c r="B2" s="2" t="n">
        <v>285000</v>
      </c>
      <c r="C2" t="n">
        <v>28</v>
      </c>
      <c r="D2" s="2">
        <f>B2/C2</f>
        <v/>
      </c>
      <c r="E2" t="inlineStr">
        <is>
          <t>2025-12-31</t>
        </is>
      </c>
      <c r="F2" t="inlineStr">
        <is>
          <t>Yes</t>
        </is>
      </c>
      <c r="G2" s="7" t="n">
        <v>0.72</v>
      </c>
      <c r="H2">
        <f>IF(AND(G2&lt;0.5,F2="Yes"),"HIGH",IF(G2&lt;0.5,"MEDIUM",IF(AND(G2&gt;0.8,B2&lt;50000),"LOW","MEDIUM")))</f>
        <v/>
      </c>
    </row>
    <row r="3">
      <c r="A3" t="inlineStr">
        <is>
          <t>Microsoft 365</t>
        </is>
      </c>
      <c r="B3" s="2" t="n">
        <v>156000</v>
      </c>
      <c r="C3" t="n">
        <v>124</v>
      </c>
      <c r="D3" s="2">
        <f>B3/C3</f>
        <v/>
      </c>
      <c r="E3" t="inlineStr">
        <is>
          <t>2026-03-15</t>
        </is>
      </c>
      <c r="F3" t="inlineStr">
        <is>
          <t>Yes</t>
        </is>
      </c>
      <c r="G3" s="7" t="n">
        <v>0.91</v>
      </c>
      <c r="H3">
        <f>IF(AND(G3&lt;0.5,F3="Yes"),"HIGH",IF(G3&lt;0.5,"MEDIUM",IF(AND(G3&gt;0.8,B3&lt;50000),"LOW","MEDIUM")))</f>
        <v/>
      </c>
    </row>
    <row r="4">
      <c r="A4" t="inlineStr">
        <is>
          <t>AWS</t>
        </is>
      </c>
      <c r="B4" s="2" t="n">
        <v>480000</v>
      </c>
      <c r="C4" t="n">
        <v>45</v>
      </c>
      <c r="D4" s="2">
        <f>B4/C4</f>
        <v/>
      </c>
      <c r="E4" t="inlineStr">
        <is>
          <t>2025-06-30</t>
        </is>
      </c>
      <c r="F4" t="inlineStr">
        <is>
          <t>No</t>
        </is>
      </c>
      <c r="G4" s="7" t="n">
        <v>0.65</v>
      </c>
      <c r="H4">
        <f>IF(AND(G4&lt;0.5,F4="Yes"),"HIGH",IF(G4&lt;0.5,"MEDIUM",IF(AND(G4&gt;0.8,B4&lt;50000),"LOW","MEDIUM")))</f>
        <v/>
      </c>
    </row>
    <row r="5">
      <c r="A5" t="inlineStr">
        <is>
          <t>Slack</t>
        </is>
      </c>
      <c r="B5" s="2" t="n">
        <v>42000</v>
      </c>
      <c r="C5" t="n">
        <v>124</v>
      </c>
      <c r="D5" s="2">
        <f>B5/C5</f>
        <v/>
      </c>
      <c r="E5" t="inlineStr">
        <is>
          <t>2025-09-30</t>
        </is>
      </c>
      <c r="F5" t="inlineStr">
        <is>
          <t>Yes</t>
        </is>
      </c>
      <c r="G5" s="7" t="n">
        <v>0.88</v>
      </c>
      <c r="H5">
        <f>IF(AND(G5&lt;0.5,F5="Yes"),"HIGH",IF(G5&lt;0.5,"MEDIUM",IF(AND(G5&gt;0.8,B5&lt;50000),"LOW","MEDIUM")))</f>
        <v/>
      </c>
    </row>
    <row r="6">
      <c r="A6" t="inlineStr">
        <is>
          <t>Jira</t>
        </is>
      </c>
      <c r="B6" s="2" t="n">
        <v>36000</v>
      </c>
      <c r="C6" t="n">
        <v>65</v>
      </c>
      <c r="D6" s="2">
        <f>B6/C6</f>
        <v/>
      </c>
      <c r="E6" t="inlineStr">
        <is>
          <t>2026-01-31</t>
        </is>
      </c>
      <c r="F6" t="inlineStr">
        <is>
          <t>Yes</t>
        </is>
      </c>
      <c r="G6" s="7" t="n">
        <v>0.78</v>
      </c>
      <c r="H6">
        <f>IF(AND(G6&lt;0.5,F6="Yes"),"HIGH",IF(G6&lt;0.5,"MEDIUM",IF(AND(G6&gt;0.8,B6&lt;50000),"LOW","MEDIUM")))</f>
        <v/>
      </c>
    </row>
    <row r="7">
      <c r="A7" t="inlineStr">
        <is>
          <t>Zoom</t>
        </is>
      </c>
      <c r="B7" s="2" t="n">
        <v>28000</v>
      </c>
      <c r="C7" t="n">
        <v>124</v>
      </c>
      <c r="D7" s="2">
        <f>B7/C7</f>
        <v/>
      </c>
      <c r="E7" t="inlineStr">
        <is>
          <t>2025-08-15</t>
        </is>
      </c>
      <c r="F7" t="inlineStr">
        <is>
          <t>Yes</t>
        </is>
      </c>
      <c r="G7" s="7" t="n">
        <v>0.45</v>
      </c>
      <c r="H7">
        <f>IF(AND(G7&lt;0.5,F7="Yes"),"HIGH",IF(G7&lt;0.5,"MEDIUM",IF(AND(G7&gt;0.8,B7&lt;50000),"LOW","MEDIUM")))</f>
        <v/>
      </c>
    </row>
    <row r="8">
      <c r="A8" t="inlineStr">
        <is>
          <t>HubSpot</t>
        </is>
      </c>
      <c r="B8" s="2" t="n">
        <v>72000</v>
      </c>
      <c r="C8" t="n">
        <v>15</v>
      </c>
      <c r="D8" s="2">
        <f>B8/C8</f>
        <v/>
      </c>
      <c r="E8" t="inlineStr">
        <is>
          <t>2025-11-30</t>
        </is>
      </c>
      <c r="F8" t="inlineStr">
        <is>
          <t>Yes</t>
        </is>
      </c>
      <c r="G8" s="7" t="n">
        <v>0.52</v>
      </c>
      <c r="H8">
        <f>IF(AND(G8&lt;0.5,F8="Yes"),"HIGH",IF(G8&lt;0.5,"MEDIUM",IF(AND(G8&gt;0.8,B8&lt;50000),"LOW","MEDIUM")))</f>
        <v/>
      </c>
    </row>
    <row r="9">
      <c r="A9" t="inlineStr">
        <is>
          <t>Datadog</t>
        </is>
      </c>
      <c r="B9" s="2" t="n">
        <v>96000</v>
      </c>
      <c r="C9" t="n">
        <v>12</v>
      </c>
      <c r="D9" s="2">
        <f>B9/C9</f>
        <v/>
      </c>
      <c r="E9" t="inlineStr">
        <is>
          <t>2026-02-28</t>
        </is>
      </c>
      <c r="F9" t="inlineStr">
        <is>
          <t>No</t>
        </is>
      </c>
      <c r="G9" s="7" t="n">
        <v>0.83</v>
      </c>
      <c r="H9">
        <f>IF(AND(G9&lt;0.5,F9="Yes"),"HIGH",IF(G9&lt;0.5,"MEDIUM",IF(AND(G9&gt;0.8,B9&lt;50000),"LOW","MEDIUM")))</f>
        <v/>
      </c>
    </row>
    <row r="10">
      <c r="A10" t="inlineStr">
        <is>
          <t>DocuSign</t>
        </is>
      </c>
      <c r="B10" s="2" t="n">
        <v>18000</v>
      </c>
      <c r="C10" t="n">
        <v>35</v>
      </c>
      <c r="D10" s="2">
        <f>B10/C10</f>
        <v/>
      </c>
      <c r="E10" t="inlineStr">
        <is>
          <t>2025-07-31</t>
        </is>
      </c>
      <c r="F10" t="inlineStr">
        <is>
          <t>Yes</t>
        </is>
      </c>
      <c r="G10" s="7" t="n">
        <v>0.35</v>
      </c>
      <c r="H10">
        <f>IF(AND(G10&lt;0.5,F10="Yes"),"HIGH",IF(G10&lt;0.5,"MEDIUM",IF(AND(G10&gt;0.8,B10&lt;50000),"LOW","MEDIUM")))</f>
        <v/>
      </c>
    </row>
    <row r="11">
      <c r="A11" t="inlineStr">
        <is>
          <t>Figma</t>
        </is>
      </c>
      <c r="B11" s="2" t="n">
        <v>24000</v>
      </c>
      <c r="C11" t="n">
        <v>8</v>
      </c>
      <c r="D11" s="2">
        <f>B11/C11</f>
        <v/>
      </c>
      <c r="E11" t="inlineStr">
        <is>
          <t>2025-10-31</t>
        </is>
      </c>
      <c r="F11" t="inlineStr">
        <is>
          <t>Yes</t>
        </is>
      </c>
      <c r="G11" s="7" t="n">
        <v>0.9</v>
      </c>
      <c r="H11">
        <f>IF(AND(G11&lt;0.5,F11="Yes"),"HIGH",IF(G11&lt;0.5,"MEDIUM",IF(AND(G11&gt;0.8,B11&lt;50000),"LOW","MEDIUM")))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ASSUMPTIONS — DO NOT MODIFY</t>
        </is>
      </c>
    </row>
    <row r="3">
      <c r="A3" t="inlineStr">
        <is>
          <t>Parameter</t>
        </is>
      </c>
      <c r="B3" t="inlineStr">
        <is>
          <t>Value</t>
        </is>
      </c>
      <c r="C3" t="inlineStr">
        <is>
          <t>Last Updated</t>
        </is>
      </c>
      <c r="D3" t="inlineStr">
        <is>
          <t>Updated By</t>
        </is>
      </c>
    </row>
    <row r="4">
      <c r="A4" t="inlineStr">
        <is>
          <t>Tax Rate</t>
        </is>
      </c>
      <c r="B4" t="n">
        <v>0.21</v>
      </c>
      <c r="C4" t="inlineStr">
        <is>
          <t>2022-01-15</t>
        </is>
      </c>
      <c r="D4" t="inlineStr">
        <is>
          <t>jsmith</t>
        </is>
      </c>
    </row>
    <row r="5">
      <c r="A5" t="inlineStr">
        <is>
          <t>Discount Rate</t>
        </is>
      </c>
      <c r="B5" t="n">
        <v>0.08</v>
      </c>
      <c r="C5" t="inlineStr">
        <is>
          <t>2021-06-30</t>
        </is>
      </c>
      <c r="D5" t="inlineStr">
        <is>
          <t>UNKNOWN</t>
        </is>
      </c>
    </row>
    <row r="6">
      <c r="A6" t="inlineStr">
        <is>
          <t>Growth Target</t>
        </is>
      </c>
      <c r="B6" t="n">
        <v>0.15</v>
      </c>
      <c r="C6" t="inlineStr">
        <is>
          <t>2023-03-01</t>
        </is>
      </c>
      <c r="D6" t="inlineStr">
        <is>
          <t>cfo_direct</t>
        </is>
      </c>
    </row>
    <row r="7">
      <c r="A7" t="inlineStr">
        <is>
          <t>Inflation Adj</t>
        </is>
      </c>
      <c r="B7" t="n">
        <v>0.035</v>
      </c>
      <c r="C7" t="inlineStr">
        <is>
          <t>2020-12-01</t>
        </is>
      </c>
      <c r="D7" t="inlineStr">
        <is>
          <t>UNKNOWN</t>
        </is>
      </c>
    </row>
    <row r="8">
      <c r="A8" t="inlineStr">
        <is>
          <t>FX Rate EUR/USD</t>
        </is>
      </c>
      <c r="B8" t="n">
        <v>1.08</v>
      </c>
      <c r="C8" t="inlineStr">
        <is>
          <t>2024-02-15</t>
        </is>
      </c>
      <c r="D8" t="inlineStr">
        <is>
          <t>treasury</t>
        </is>
      </c>
    </row>
    <row r="9">
      <c r="A9" t="inlineStr">
        <is>
          <t>Benefits Load</t>
        </is>
      </c>
      <c r="B9" t="n">
        <v>0.3</v>
      </c>
      <c r="C9" t="inlineStr">
        <is>
          <t>2019-08-22</t>
        </is>
      </c>
      <c r="D9" t="inlineStr">
        <is>
          <t>hr_admin</t>
        </is>
      </c>
    </row>
    <row r="10">
      <c r="A10" t="inlineStr">
        <is>
          <t>Contingency %</t>
        </is>
      </c>
      <c r="B10" t="n">
        <v>0.1</v>
      </c>
      <c r="C10" t="inlineStr">
        <is>
          <t>2021-11-01</t>
        </is>
      </c>
      <c r="D1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EXECUTIVE SUMMARY</t>
        </is>
      </c>
    </row>
    <row r="2"/>
    <row r="3">
      <c r="A3" t="inlineStr">
        <is>
          <t>Total Revenue</t>
        </is>
      </c>
      <c r="B3">
        <f>'Revenue Forecast'!E14</f>
        <v/>
      </c>
    </row>
    <row r="4">
      <c r="A4" t="inlineStr">
        <is>
          <t>Total Costs</t>
        </is>
      </c>
      <c r="B4">
        <f>SUM('Cost Allocation'!G2:G8)</f>
        <v/>
      </c>
    </row>
    <row r="5">
      <c r="A5" t="inlineStr">
        <is>
          <t>Gross Margin</t>
        </is>
      </c>
      <c r="B5">
        <f>B3-B4</f>
        <v/>
      </c>
    </row>
    <row r="6">
      <c r="A6" t="inlineStr">
        <is>
          <t>Margin %</t>
        </is>
      </c>
      <c r="B6" s="3">
        <f>B5/B3</f>
        <v/>
      </c>
    </row>
    <row r="7"/>
    <row r="8">
      <c r="A8" t="inlineStr">
        <is>
          <t>Vendor Spend</t>
        </is>
      </c>
      <c r="B8">
        <f>SUM('Vendor Contracts'!B2:B11)</f>
        <v/>
      </c>
    </row>
    <row r="9">
      <c r="A9" t="inlineStr">
        <is>
          <t>Vendor % of Revenue</t>
        </is>
      </c>
      <c r="B9" s="3">
        <f>B8/B3</f>
        <v/>
      </c>
    </row>
    <row r="10"/>
    <row r="11">
      <c r="A11" t="inlineStr">
        <is>
          <t>Adjusted Margin (after assumptions)</t>
        </is>
      </c>
      <c r="B11">
        <f>B5*(1-Assumptions!B7)*(1+Assumptions!B4)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2026-03-17T17:04:20Z</dcterms:created>
  <dcterms:modified xsi:type="dcterms:W3CDTF">2026-03-17T17:04:20Z</dcterms:modified>
</cp:coreProperties>
</file>